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366"/>
  </bookViews>
  <sheets>
    <sheet name="binary_alloy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<sst xmlns="http://schemas.openxmlformats.org/spreadsheetml/2006/main" count="75" uniqueCount="75">
  <si>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pair</t>
  </si>
  <si>
    <t>chi_A</t>
  </si>
  <si>
    <t>chi_B</t>
  </si>
  <si>
    <t>delta_chi</t>
  </si>
  <si>
    <t>r_A</t>
  </si>
  <si>
    <t>r_B</t>
  </si>
  <si>
    <t>delta_r</t>
  </si>
  <si>
    <t>Z_A</t>
  </si>
  <si>
    <t>Z_B</t>
  </si>
  <si>
    <t>delta_r1</t>
  </si>
  <si>
    <t>E_far</t>
  </si>
  <si>
    <t>E_nn</t>
  </si>
  <si>
    <t>deltaE</t>
  </si>
  <si>
    <t>CuFe</t>
  </si>
  <si>
    <t>CuMn</t>
  </si>
  <si>
    <t>CuSc</t>
  </si>
  <si>
    <t>1.4324006299999965</t>
  </si>
  <si>
    <t>CuSi</t>
  </si>
  <si>
    <t>CuTi</t>
  </si>
  <si>
    <t>CuZn</t>
  </si>
  <si>
    <t>CuZr</t>
  </si>
  <si>
    <t>0.47353468999999393</t>
  </si>
  <si>
    <t>FeSi</t>
  </si>
  <si>
    <t>LiCu</t>
  </si>
  <si>
    <t>0.9890228099999998</t>
  </si>
  <si>
    <t>LiFe</t>
  </si>
  <si>
    <t>0.3635871799999961</t>
  </si>
  <si>
    <t>LiMg</t>
  </si>
  <si>
    <t>0.11316406200000007</t>
  </si>
  <si>
    <t>LiMn</t>
  </si>
  <si>
    <t>LiSc</t>
  </si>
  <si>
    <t>LiSi</t>
  </si>
  <si>
    <t>LiTi</t>
  </si>
  <si>
    <t>LiZn</t>
  </si>
  <si>
    <t>0.3600568759999998</t>
  </si>
  <si>
    <t>LiZr</t>
  </si>
  <si>
    <t>MgCu</t>
  </si>
  <si>
    <t>1.6084493750000002</t>
  </si>
  <si>
    <t>MgFe</t>
  </si>
  <si>
    <t>MgMn</t>
  </si>
  <si>
    <t>MgSi</t>
  </si>
  <si>
    <t>0.246018430000003</t>
  </si>
  <si>
    <t>MgSc</t>
  </si>
  <si>
    <t>MgTi</t>
  </si>
  <si>
    <t>MgZn</t>
  </si>
  <si>
    <t>0.3568025000000006</t>
  </si>
  <si>
    <t>MgZr</t>
  </si>
  <si>
    <t>MnFe</t>
  </si>
  <si>
    <t>MnSi</t>
  </si>
  <si>
    <t>ScFe</t>
  </si>
  <si>
    <t>3.145122189999995</t>
  </si>
  <si>
    <t>ScMn</t>
  </si>
  <si>
    <t>1.207543440000002</t>
  </si>
  <si>
    <t>ScSi</t>
  </si>
  <si>
    <t>0.45176344000000057</t>
  </si>
  <si>
    <t>ScTi</t>
  </si>
  <si>
    <t>ScZr</t>
  </si>
  <si>
    <t>TiFe</t>
  </si>
  <si>
    <t>TiMn</t>
  </si>
  <si>
    <t>TiSi</t>
  </si>
  <si>
    <t>ZnFe</t>
  </si>
  <si>
    <t>0.02813936999999811</t>
  </si>
  <si>
    <t>ZnMn</t>
  </si>
  <si>
    <t>ZnSc</t>
  </si>
  <si>
    <t>0.18330092999999792</t>
  </si>
  <si>
    <t>ZnSi</t>
  </si>
  <si>
    <t>ZnTi</t>
  </si>
  <si>
    <t>ZnZr</t>
  </si>
  <si>
    <t>ZrFe</t>
  </si>
  <si>
    <t>3.5195281199999897</t>
  </si>
  <si>
    <t>ZrMn</t>
  </si>
  <si>
    <t>0.9507137499999985</t>
  </si>
  <si>
    <t>ZrSi</t>
  </si>
  <si>
    <t>1.2156587499999993</t>
  </si>
  <si>
    <t>ZrTi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</si>
</sst>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zoomScaleSheetLayoutView="60" workbookViewId="0">
      <selection activeCell="L14" sqref="L14"/>
    </sheetView>
  </sheetViews>
  <sheetFormatPr defaultColWidth="9.90825688073394" defaultRowHeight="14.5"/>
  <cols>
    <col min="3" max="3" width="10.8715596330275" customWidth="1"/>
    <col min="4" max="4" width="10.0917431192661" customWidth="1"/>
    <col min="7" max="7" width="16.6422018348624" customWidth="1"/>
    <col min="10" max="11" width="13.7706422018349"/>
    <col min="12" max="12" width="13.9816513761468" customWidth="1"/>
    <col min="13" max="13" width="24.642201834862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1.9</v>
      </c>
      <c r="C2">
        <v>1.83</v>
      </c>
      <c r="D2">
        <f>B2-C2</f>
        <v>0.0699999999999998</v>
      </c>
      <c r="E2">
        <v>140</v>
      </c>
      <c r="F2">
        <v>194</v>
      </c>
      <c r="G2">
        <f>(F2-E2)/(E2+F2)*2</f>
        <v>0.323353293413174</v>
      </c>
      <c r="H2">
        <v>29</v>
      </c>
      <c r="I2">
        <v>26</v>
      </c>
      <c r="J2">
        <f>ABS((E2-184)/184)+ABS((F2-184)/184)</f>
        <v>0.293478260869565</v>
      </c>
      <c r="K2">
        <v>-33.8244475</v>
      </c>
      <c r="L2">
        <v>-35.17926258</v>
      </c>
      <c r="M2">
        <v>-1.35481508</v>
      </c>
    </row>
    <row r="3" spans="1:13">
      <c r="A3" t="s">
        <v>14</v>
      </c>
      <c r="B3">
        <v>1.9</v>
      </c>
      <c r="C3">
        <v>1.55</v>
      </c>
      <c r="D3">
        <f t="shared" ref="D3:D46" si="0">B3-C3</f>
        <v>0.35</v>
      </c>
      <c r="E3">
        <v>140</v>
      </c>
      <c r="F3">
        <v>197</v>
      </c>
      <c r="G3">
        <f t="shared" ref="G3:G46" si="1">(F3-E3)/(E3+F3)*2</f>
        <v>0.338278931750742</v>
      </c>
      <c r="H3">
        <v>29</v>
      </c>
      <c r="I3">
        <v>25</v>
      </c>
      <c r="J3">
        <f t="shared" ref="J3:J46" si="2">ABS((E3-184)/184)+ABS((F3-184)/184)</f>
        <v>0.309782608695652</v>
      </c>
      <c r="K3">
        <v>-16.37096273</v>
      </c>
      <c r="L3">
        <v>-18.39142742</v>
      </c>
      <c r="M3">
        <v>-2.02046469</v>
      </c>
    </row>
    <row r="4" spans="1:13">
      <c r="A4" t="s">
        <v>15</v>
      </c>
      <c r="B4">
        <v>1.9</v>
      </c>
      <c r="C4">
        <v>1.36</v>
      </c>
      <c r="D4">
        <f t="shared" si="0"/>
        <v>0.54</v>
      </c>
      <c r="E4">
        <v>140</v>
      </c>
      <c r="F4">
        <v>211</v>
      </c>
      <c r="G4">
        <f t="shared" si="1"/>
        <v>0.404558404558405</v>
      </c>
      <c r="H4">
        <v>29</v>
      </c>
      <c r="I4">
        <v>21</v>
      </c>
      <c r="J4">
        <f t="shared" si="2"/>
        <v>0.385869565217391</v>
      </c>
      <c r="K4">
        <v>-38.57633258</v>
      </c>
      <c r="L4">
        <v>-37.14393195</v>
      </c>
      <c r="M4" s="1" t="s">
        <v>16</v>
      </c>
    </row>
    <row r="5" spans="1:13">
      <c r="A5" t="s">
        <v>17</v>
      </c>
      <c r="B5">
        <v>1.9</v>
      </c>
      <c r="C5">
        <v>1.9</v>
      </c>
      <c r="D5">
        <f t="shared" si="0"/>
        <v>0</v>
      </c>
      <c r="E5">
        <v>140</v>
      </c>
      <c r="F5">
        <v>210</v>
      </c>
      <c r="G5">
        <f t="shared" si="1"/>
        <v>0.4</v>
      </c>
      <c r="H5">
        <v>29</v>
      </c>
      <c r="I5">
        <v>14</v>
      </c>
      <c r="J5">
        <f t="shared" si="2"/>
        <v>0.380434782608696</v>
      </c>
      <c r="K5">
        <v>8.562030703</v>
      </c>
      <c r="L5">
        <v>7.188026328</v>
      </c>
      <c r="M5">
        <v>-1.37400437499999</v>
      </c>
    </row>
    <row r="6" spans="1:13">
      <c r="A6" t="s">
        <v>18</v>
      </c>
      <c r="B6">
        <v>1.9</v>
      </c>
      <c r="C6">
        <v>1.54</v>
      </c>
      <c r="D6">
        <f t="shared" si="0"/>
        <v>0.36</v>
      </c>
      <c r="E6">
        <v>140</v>
      </c>
      <c r="F6">
        <v>187</v>
      </c>
      <c r="G6">
        <f t="shared" si="1"/>
        <v>0.287461773700306</v>
      </c>
      <c r="H6">
        <v>29</v>
      </c>
      <c r="I6">
        <v>22</v>
      </c>
      <c r="J6">
        <f t="shared" si="2"/>
        <v>0.255434782608696</v>
      </c>
      <c r="K6">
        <v>-35.79378211</v>
      </c>
      <c r="L6">
        <v>-36.62597617</v>
      </c>
      <c r="M6">
        <v>-0.832194059999999</v>
      </c>
    </row>
    <row r="7" spans="1:13">
      <c r="A7" t="s">
        <v>19</v>
      </c>
      <c r="B7">
        <v>1.9</v>
      </c>
      <c r="C7">
        <v>1.65</v>
      </c>
      <c r="D7">
        <f t="shared" si="0"/>
        <v>0.25</v>
      </c>
      <c r="E7">
        <v>140</v>
      </c>
      <c r="F7">
        <v>139</v>
      </c>
      <c r="G7">
        <f t="shared" si="1"/>
        <v>-0.00716845878136201</v>
      </c>
      <c r="H7">
        <v>29</v>
      </c>
      <c r="I7">
        <v>30</v>
      </c>
      <c r="J7">
        <f t="shared" si="2"/>
        <v>0.483695652173913</v>
      </c>
      <c r="K7">
        <v>-0.119327422</v>
      </c>
      <c r="L7">
        <v>0.015796328</v>
      </c>
      <c r="M7">
        <v>0.13512375</v>
      </c>
    </row>
    <row r="8" spans="1:13">
      <c r="A8" t="s">
        <v>20</v>
      </c>
      <c r="B8">
        <v>1.9</v>
      </c>
      <c r="C8">
        <v>1.33</v>
      </c>
      <c r="D8">
        <f t="shared" si="0"/>
        <v>0.57</v>
      </c>
      <c r="E8">
        <v>140</v>
      </c>
      <c r="F8">
        <v>186</v>
      </c>
      <c r="G8">
        <f t="shared" si="1"/>
        <v>0.282208588957055</v>
      </c>
      <c r="H8">
        <v>29</v>
      </c>
      <c r="I8">
        <v>40</v>
      </c>
      <c r="J8">
        <f t="shared" si="2"/>
        <v>0.25</v>
      </c>
      <c r="K8">
        <v>-37.36882727</v>
      </c>
      <c r="L8">
        <v>-36.89529258</v>
      </c>
      <c r="M8" s="1" t="s">
        <v>21</v>
      </c>
    </row>
    <row r="9" spans="1:13">
      <c r="A9" t="s">
        <v>22</v>
      </c>
      <c r="B9">
        <v>1.83</v>
      </c>
      <c r="C9">
        <v>1.9</v>
      </c>
      <c r="D9">
        <f t="shared" si="0"/>
        <v>-0.0699999999999998</v>
      </c>
      <c r="E9">
        <v>194</v>
      </c>
      <c r="F9">
        <v>210</v>
      </c>
      <c r="G9">
        <f t="shared" si="1"/>
        <v>0.0792079207920792</v>
      </c>
      <c r="H9">
        <v>26</v>
      </c>
      <c r="I9">
        <v>14</v>
      </c>
      <c r="J9">
        <f t="shared" si="2"/>
        <v>0.195652173913043</v>
      </c>
      <c r="K9">
        <v>-15.75975484</v>
      </c>
      <c r="L9">
        <v>-19.87337547</v>
      </c>
      <c r="M9">
        <v>-4.11362063</v>
      </c>
    </row>
    <row r="10" spans="1:13">
      <c r="A10" t="s">
        <v>23</v>
      </c>
      <c r="B10">
        <v>0.98</v>
      </c>
      <c r="C10">
        <v>1.9</v>
      </c>
      <c r="D10">
        <f t="shared" si="0"/>
        <v>-0.92</v>
      </c>
      <c r="E10">
        <v>182</v>
      </c>
      <c r="F10">
        <v>140</v>
      </c>
      <c r="G10">
        <f t="shared" si="1"/>
        <v>-0.260869565217391</v>
      </c>
      <c r="H10">
        <v>3</v>
      </c>
      <c r="I10">
        <v>29</v>
      </c>
      <c r="J10">
        <f t="shared" si="2"/>
        <v>0.25</v>
      </c>
      <c r="K10">
        <v>-13.50582992</v>
      </c>
      <c r="L10">
        <v>-12.51680711</v>
      </c>
      <c r="M10" s="1" t="s">
        <v>24</v>
      </c>
    </row>
    <row r="11" spans="1:13">
      <c r="A11" t="s">
        <v>25</v>
      </c>
      <c r="B11">
        <v>0.98</v>
      </c>
      <c r="C11">
        <v>1.83</v>
      </c>
      <c r="D11">
        <f t="shared" si="0"/>
        <v>-0.85</v>
      </c>
      <c r="E11">
        <v>182</v>
      </c>
      <c r="F11">
        <v>194</v>
      </c>
      <c r="G11">
        <f t="shared" si="1"/>
        <v>0.0638297872340425</v>
      </c>
      <c r="H11">
        <v>3</v>
      </c>
      <c r="I11">
        <v>26</v>
      </c>
      <c r="J11">
        <f t="shared" si="2"/>
        <v>0.0652173913043478</v>
      </c>
      <c r="K11">
        <v>-38.35271984</v>
      </c>
      <c r="L11">
        <v>-37.98913266</v>
      </c>
      <c r="M11" s="1" t="s">
        <v>26</v>
      </c>
    </row>
    <row r="12" spans="1:13">
      <c r="A12" t="s">
        <v>27</v>
      </c>
      <c r="B12">
        <v>0.98</v>
      </c>
      <c r="C12">
        <v>1.31</v>
      </c>
      <c r="D12">
        <f t="shared" si="0"/>
        <v>-0.33</v>
      </c>
      <c r="E12">
        <v>182</v>
      </c>
      <c r="F12">
        <v>173</v>
      </c>
      <c r="G12">
        <f t="shared" si="1"/>
        <v>-0.0507042253521127</v>
      </c>
      <c r="H12">
        <v>3</v>
      </c>
      <c r="I12">
        <v>12</v>
      </c>
      <c r="J12">
        <f t="shared" si="2"/>
        <v>0.0706521739130435</v>
      </c>
      <c r="K12">
        <v>-4.946867031</v>
      </c>
      <c r="L12">
        <v>-4.833702969</v>
      </c>
      <c r="M12" s="1" t="s">
        <v>28</v>
      </c>
    </row>
    <row r="13" spans="1:13">
      <c r="A13" t="s">
        <v>29</v>
      </c>
      <c r="B13">
        <v>0.98</v>
      </c>
      <c r="C13">
        <v>1.55</v>
      </c>
      <c r="D13">
        <f t="shared" si="0"/>
        <v>-0.57</v>
      </c>
      <c r="E13">
        <v>182</v>
      </c>
      <c r="F13">
        <v>197</v>
      </c>
      <c r="G13">
        <f t="shared" si="1"/>
        <v>0.079155672823219</v>
      </c>
      <c r="H13">
        <v>3</v>
      </c>
      <c r="I13">
        <v>25</v>
      </c>
      <c r="J13">
        <f t="shared" si="2"/>
        <v>0.0815217391304348</v>
      </c>
      <c r="K13">
        <v>-20.90665656</v>
      </c>
      <c r="L13">
        <v>-22.13811281</v>
      </c>
      <c r="M13">
        <v>-1.23145625</v>
      </c>
    </row>
    <row r="14" spans="1:13">
      <c r="A14" t="s">
        <v>30</v>
      </c>
      <c r="B14">
        <v>0.98</v>
      </c>
      <c r="C14">
        <v>1.36</v>
      </c>
      <c r="D14">
        <f t="shared" si="0"/>
        <v>-0.38</v>
      </c>
      <c r="E14">
        <v>182</v>
      </c>
      <c r="F14">
        <v>211</v>
      </c>
      <c r="G14">
        <f t="shared" si="1"/>
        <v>0.147582697201018</v>
      </c>
      <c r="H14">
        <v>3</v>
      </c>
      <c r="I14">
        <v>21</v>
      </c>
      <c r="J14">
        <f t="shared" si="2"/>
        <v>0.157608695652174</v>
      </c>
      <c r="K14">
        <v>-41.74233609</v>
      </c>
      <c r="L14">
        <v>-44.81139297</v>
      </c>
      <c r="M14">
        <v>-3.06905687999999</v>
      </c>
    </row>
    <row r="15" spans="1:13">
      <c r="A15" t="s">
        <v>31</v>
      </c>
      <c r="B15">
        <v>0.98</v>
      </c>
      <c r="C15">
        <v>1.9</v>
      </c>
      <c r="D15">
        <f t="shared" si="0"/>
        <v>-0.92</v>
      </c>
      <c r="E15">
        <v>182</v>
      </c>
      <c r="F15">
        <v>210</v>
      </c>
      <c r="G15">
        <f t="shared" si="1"/>
        <v>0.142857142857143</v>
      </c>
      <c r="H15">
        <v>3</v>
      </c>
      <c r="I15">
        <v>14</v>
      </c>
      <c r="J15">
        <f t="shared" si="2"/>
        <v>0.152173913043478</v>
      </c>
      <c r="K15">
        <v>4.565114063</v>
      </c>
      <c r="L15">
        <v>4.124644062</v>
      </c>
      <c r="M15">
        <v>-0.440470001</v>
      </c>
    </row>
    <row r="16" spans="1:13">
      <c r="A16" t="s">
        <v>32</v>
      </c>
      <c r="B16">
        <v>0.98</v>
      </c>
      <c r="C16">
        <v>1.54</v>
      </c>
      <c r="D16">
        <f t="shared" si="0"/>
        <v>-0.56</v>
      </c>
      <c r="E16">
        <v>182</v>
      </c>
      <c r="F16">
        <v>187</v>
      </c>
      <c r="G16">
        <f t="shared" si="1"/>
        <v>0.02710027100271</v>
      </c>
      <c r="H16">
        <v>3</v>
      </c>
      <c r="I16">
        <v>22</v>
      </c>
      <c r="J16">
        <f t="shared" si="2"/>
        <v>0.0271739130434783</v>
      </c>
      <c r="K16">
        <v>-39.04700219</v>
      </c>
      <c r="L16">
        <v>-42.7962225</v>
      </c>
      <c r="M16">
        <v>-3.74922030999999</v>
      </c>
    </row>
    <row r="17" spans="1:13">
      <c r="A17" t="s">
        <v>33</v>
      </c>
      <c r="B17">
        <v>0.98</v>
      </c>
      <c r="C17">
        <v>1.65</v>
      </c>
      <c r="D17">
        <f t="shared" si="0"/>
        <v>-0.67</v>
      </c>
      <c r="E17">
        <v>182</v>
      </c>
      <c r="F17">
        <v>139</v>
      </c>
      <c r="G17">
        <f t="shared" si="1"/>
        <v>-0.26791277258567</v>
      </c>
      <c r="H17">
        <v>3</v>
      </c>
      <c r="I17">
        <v>30</v>
      </c>
      <c r="J17">
        <f t="shared" si="2"/>
        <v>0.255434782608696</v>
      </c>
      <c r="K17">
        <v>-5.598310938</v>
      </c>
      <c r="L17">
        <v>-5.238254062</v>
      </c>
      <c r="M17" s="1" t="s">
        <v>34</v>
      </c>
    </row>
    <row r="18" spans="1:13">
      <c r="A18" t="s">
        <v>35</v>
      </c>
      <c r="B18">
        <v>0.98</v>
      </c>
      <c r="C18">
        <v>1.33</v>
      </c>
      <c r="D18">
        <f t="shared" si="0"/>
        <v>-0.35</v>
      </c>
      <c r="E18">
        <v>182</v>
      </c>
      <c r="F18">
        <v>186</v>
      </c>
      <c r="G18">
        <f t="shared" si="1"/>
        <v>0.0217391304347826</v>
      </c>
      <c r="H18">
        <v>3</v>
      </c>
      <c r="I18">
        <v>40</v>
      </c>
      <c r="J18">
        <f t="shared" si="2"/>
        <v>0.0217391304347826</v>
      </c>
      <c r="K18">
        <v>-41.10647984</v>
      </c>
      <c r="L18">
        <v>-45.46783984</v>
      </c>
      <c r="M18">
        <v>-4.36136</v>
      </c>
    </row>
    <row r="19" spans="1:13">
      <c r="A19" t="s">
        <v>36</v>
      </c>
      <c r="B19">
        <v>1.31</v>
      </c>
      <c r="C19">
        <v>1.9</v>
      </c>
      <c r="D19">
        <f t="shared" si="0"/>
        <v>-0.59</v>
      </c>
      <c r="E19">
        <v>173</v>
      </c>
      <c r="F19">
        <v>140</v>
      </c>
      <c r="G19">
        <f t="shared" si="1"/>
        <v>-0.210862619808307</v>
      </c>
      <c r="H19">
        <v>12</v>
      </c>
      <c r="I19">
        <v>29</v>
      </c>
      <c r="J19">
        <f t="shared" si="2"/>
        <v>0.298913043478261</v>
      </c>
      <c r="K19">
        <v>-1.335009453</v>
      </c>
      <c r="L19">
        <v>0.273439922</v>
      </c>
      <c r="M19" s="1" t="s">
        <v>37</v>
      </c>
    </row>
    <row r="20" spans="1:13">
      <c r="A20" t="s">
        <v>38</v>
      </c>
      <c r="B20">
        <v>1.31</v>
      </c>
      <c r="C20">
        <v>1.83</v>
      </c>
      <c r="D20">
        <f t="shared" si="0"/>
        <v>-0.52</v>
      </c>
      <c r="E20">
        <v>173</v>
      </c>
      <c r="F20">
        <v>194</v>
      </c>
      <c r="G20">
        <f t="shared" si="1"/>
        <v>0.114441416893733</v>
      </c>
      <c r="H20">
        <v>12</v>
      </c>
      <c r="I20">
        <v>26</v>
      </c>
      <c r="J20">
        <f t="shared" si="2"/>
        <v>0.114130434782609</v>
      </c>
      <c r="K20">
        <v>-26.74137469</v>
      </c>
      <c r="L20">
        <v>-23.04068969</v>
      </c>
      <c r="M20">
        <v>3.700685</v>
      </c>
    </row>
    <row r="21" spans="1:13">
      <c r="A21" t="s">
        <v>39</v>
      </c>
      <c r="B21">
        <v>1.31</v>
      </c>
      <c r="C21">
        <v>1.55</v>
      </c>
      <c r="D21">
        <f t="shared" si="0"/>
        <v>-0.24</v>
      </c>
      <c r="E21">
        <v>173</v>
      </c>
      <c r="F21">
        <v>197</v>
      </c>
      <c r="G21">
        <f t="shared" si="1"/>
        <v>0.12972972972973</v>
      </c>
      <c r="H21">
        <v>12</v>
      </c>
      <c r="I21">
        <v>25</v>
      </c>
      <c r="J21">
        <f t="shared" si="2"/>
        <v>0.130434782608696</v>
      </c>
      <c r="K21">
        <v>-9.866213594</v>
      </c>
      <c r="L21">
        <v>-6.781390156</v>
      </c>
      <c r="M21">
        <v>3.084823438</v>
      </c>
    </row>
    <row r="22" spans="1:13">
      <c r="A22" t="s">
        <v>40</v>
      </c>
      <c r="B22">
        <v>1.31</v>
      </c>
      <c r="C22">
        <v>1.9</v>
      </c>
      <c r="D22">
        <f t="shared" si="0"/>
        <v>-0.59</v>
      </c>
      <c r="E22">
        <v>173</v>
      </c>
      <c r="F22">
        <v>210</v>
      </c>
      <c r="G22">
        <f t="shared" si="1"/>
        <v>0.193211488250653</v>
      </c>
      <c r="H22">
        <v>12</v>
      </c>
      <c r="I22">
        <v>14</v>
      </c>
      <c r="J22">
        <f t="shared" si="2"/>
        <v>0.201086956521739</v>
      </c>
      <c r="K22">
        <v>16.21688016</v>
      </c>
      <c r="L22">
        <v>16.46289859</v>
      </c>
      <c r="M22" s="1" t="s">
        <v>41</v>
      </c>
    </row>
    <row r="23" spans="1:13">
      <c r="A23" t="s">
        <v>42</v>
      </c>
      <c r="B23">
        <v>1.31</v>
      </c>
      <c r="C23">
        <v>1.36</v>
      </c>
      <c r="D23">
        <f t="shared" si="0"/>
        <v>-0.05</v>
      </c>
      <c r="E23">
        <v>173</v>
      </c>
      <c r="F23">
        <v>211</v>
      </c>
      <c r="G23">
        <f t="shared" si="1"/>
        <v>0.197916666666667</v>
      </c>
      <c r="H23">
        <v>12</v>
      </c>
      <c r="I23">
        <v>21</v>
      </c>
      <c r="J23">
        <f t="shared" si="2"/>
        <v>0.206521739130435</v>
      </c>
      <c r="K23">
        <v>-29.77125875</v>
      </c>
      <c r="L23">
        <v>-32.062885</v>
      </c>
      <c r="M23">
        <v>-2.29162625</v>
      </c>
    </row>
    <row r="24" spans="1:13">
      <c r="A24" t="s">
        <v>43</v>
      </c>
      <c r="B24">
        <v>1.31</v>
      </c>
      <c r="C24">
        <v>1.54</v>
      </c>
      <c r="D24">
        <f t="shared" si="0"/>
        <v>-0.23</v>
      </c>
      <c r="E24">
        <v>173</v>
      </c>
      <c r="F24">
        <v>187</v>
      </c>
      <c r="G24">
        <f t="shared" si="1"/>
        <v>0.0777777777777778</v>
      </c>
      <c r="H24">
        <v>12</v>
      </c>
      <c r="I24">
        <v>22</v>
      </c>
      <c r="J24">
        <f t="shared" si="2"/>
        <v>0.0760869565217391</v>
      </c>
      <c r="K24">
        <v>-27.06879578</v>
      </c>
      <c r="L24">
        <v>-28.12738797</v>
      </c>
      <c r="M24">
        <v>-1.05859219</v>
      </c>
    </row>
    <row r="25" spans="1:13">
      <c r="A25" t="s">
        <v>44</v>
      </c>
      <c r="B25">
        <v>1.31</v>
      </c>
      <c r="C25">
        <v>1.65</v>
      </c>
      <c r="D25">
        <f t="shared" si="0"/>
        <v>-0.34</v>
      </c>
      <c r="E25">
        <v>173</v>
      </c>
      <c r="F25">
        <v>139</v>
      </c>
      <c r="G25">
        <f t="shared" si="1"/>
        <v>-0.217948717948718</v>
      </c>
      <c r="H25">
        <v>12</v>
      </c>
      <c r="I25">
        <v>30</v>
      </c>
      <c r="J25">
        <f t="shared" si="2"/>
        <v>0.304347826086957</v>
      </c>
      <c r="K25">
        <v>6.296954219</v>
      </c>
      <c r="L25">
        <v>6.653756719</v>
      </c>
      <c r="M25" s="1" t="s">
        <v>45</v>
      </c>
    </row>
    <row r="26" spans="1:13">
      <c r="A26" t="s">
        <v>46</v>
      </c>
      <c r="B26">
        <v>1.31</v>
      </c>
      <c r="C26">
        <v>1.33</v>
      </c>
      <c r="D26">
        <f t="shared" si="0"/>
        <v>-0.02</v>
      </c>
      <c r="E26">
        <v>173</v>
      </c>
      <c r="F26">
        <v>186</v>
      </c>
      <c r="G26">
        <f t="shared" si="1"/>
        <v>0.0724233983286908</v>
      </c>
      <c r="H26">
        <v>12</v>
      </c>
      <c r="I26">
        <v>40</v>
      </c>
      <c r="J26">
        <f t="shared" si="2"/>
        <v>0.0706521739130435</v>
      </c>
      <c r="K26">
        <v>-29.00632188</v>
      </c>
      <c r="L26">
        <v>-32.08208844</v>
      </c>
      <c r="M26">
        <v>-3.07576655999999</v>
      </c>
    </row>
    <row r="27" spans="1:13">
      <c r="A27" t="s">
        <v>47</v>
      </c>
      <c r="B27">
        <v>1.55</v>
      </c>
      <c r="C27">
        <v>1.83</v>
      </c>
      <c r="D27">
        <f t="shared" si="0"/>
        <v>-0.28</v>
      </c>
      <c r="E27">
        <v>197</v>
      </c>
      <c r="F27">
        <v>194</v>
      </c>
      <c r="G27">
        <f t="shared" si="1"/>
        <v>-0.0153452685421995</v>
      </c>
      <c r="H27">
        <v>25</v>
      </c>
      <c r="I27">
        <v>26</v>
      </c>
      <c r="J27">
        <f t="shared" si="2"/>
        <v>0.125</v>
      </c>
      <c r="K27">
        <v>-38.87544172</v>
      </c>
      <c r="L27">
        <v>-46.14431234</v>
      </c>
      <c r="M27">
        <v>-7.26887062</v>
      </c>
    </row>
    <row r="28" spans="1:13">
      <c r="A28" t="s">
        <v>48</v>
      </c>
      <c r="B28">
        <v>1.55</v>
      </c>
      <c r="C28">
        <v>1.9</v>
      </c>
      <c r="D28">
        <f t="shared" si="0"/>
        <v>-0.35</v>
      </c>
      <c r="E28">
        <v>197</v>
      </c>
      <c r="F28">
        <v>210</v>
      </c>
      <c r="G28">
        <f t="shared" si="1"/>
        <v>0.0638820638820639</v>
      </c>
      <c r="H28">
        <v>25</v>
      </c>
      <c r="I28">
        <v>14</v>
      </c>
      <c r="J28">
        <f t="shared" si="2"/>
        <v>0.21195652173913</v>
      </c>
      <c r="K28">
        <v>0.669762188</v>
      </c>
      <c r="L28">
        <v>-3.52070625</v>
      </c>
      <c r="M28">
        <v>-4.190468438</v>
      </c>
    </row>
    <row r="29" spans="1:13">
      <c r="A29" t="s">
        <v>49</v>
      </c>
      <c r="B29">
        <v>1.36</v>
      </c>
      <c r="C29">
        <v>1.83</v>
      </c>
      <c r="D29">
        <f t="shared" si="0"/>
        <v>-0.47</v>
      </c>
      <c r="E29">
        <v>211</v>
      </c>
      <c r="F29">
        <v>194</v>
      </c>
      <c r="G29">
        <f t="shared" si="1"/>
        <v>-0.0839506172839506</v>
      </c>
      <c r="H29">
        <v>21</v>
      </c>
      <c r="I29">
        <v>26</v>
      </c>
      <c r="J29">
        <f t="shared" si="2"/>
        <v>0.201086956521739</v>
      </c>
      <c r="K29">
        <v>-66.02110531</v>
      </c>
      <c r="L29">
        <v>-62.87598312</v>
      </c>
      <c r="M29" s="1" t="s">
        <v>50</v>
      </c>
    </row>
    <row r="30" spans="1:13">
      <c r="A30" t="s">
        <v>51</v>
      </c>
      <c r="B30">
        <v>1.36</v>
      </c>
      <c r="C30">
        <v>1.55</v>
      </c>
      <c r="D30">
        <f t="shared" si="0"/>
        <v>-0.19</v>
      </c>
      <c r="E30">
        <v>211</v>
      </c>
      <c r="F30">
        <v>197</v>
      </c>
      <c r="G30">
        <f t="shared" si="1"/>
        <v>-0.0686274509803922</v>
      </c>
      <c r="H30">
        <v>21</v>
      </c>
      <c r="I30">
        <v>25</v>
      </c>
      <c r="J30">
        <f t="shared" si="2"/>
        <v>0.217391304347826</v>
      </c>
      <c r="K30">
        <v>-49.80637578</v>
      </c>
      <c r="L30">
        <v>-48.59883234</v>
      </c>
      <c r="M30" s="1" t="s">
        <v>52</v>
      </c>
    </row>
    <row r="31" spans="1:13">
      <c r="A31" t="s">
        <v>53</v>
      </c>
      <c r="B31">
        <v>1.36</v>
      </c>
      <c r="C31">
        <v>1.9</v>
      </c>
      <c r="D31">
        <f t="shared" si="0"/>
        <v>-0.54</v>
      </c>
      <c r="E31">
        <v>211</v>
      </c>
      <c r="F31">
        <v>210</v>
      </c>
      <c r="G31">
        <f t="shared" si="1"/>
        <v>-0.00475059382422803</v>
      </c>
      <c r="H31">
        <v>21</v>
      </c>
      <c r="I31">
        <v>14</v>
      </c>
      <c r="J31">
        <f t="shared" si="2"/>
        <v>0.28804347826087</v>
      </c>
      <c r="K31">
        <v>-18.64320547</v>
      </c>
      <c r="L31">
        <v>-18.19144203</v>
      </c>
      <c r="M31" s="1" t="s">
        <v>54</v>
      </c>
    </row>
    <row r="32" spans="1:13">
      <c r="A32" t="s">
        <v>55</v>
      </c>
      <c r="B32">
        <v>1.36</v>
      </c>
      <c r="C32">
        <v>1.54</v>
      </c>
      <c r="D32">
        <f t="shared" si="0"/>
        <v>-0.18</v>
      </c>
      <c r="E32">
        <v>211</v>
      </c>
      <c r="F32">
        <v>187</v>
      </c>
      <c r="G32">
        <f t="shared" si="1"/>
        <v>-0.120603015075377</v>
      </c>
      <c r="H32">
        <v>21</v>
      </c>
      <c r="I32">
        <v>22</v>
      </c>
      <c r="J32">
        <f t="shared" si="2"/>
        <v>0.16304347826087</v>
      </c>
      <c r="K32">
        <v>-66.66688766</v>
      </c>
      <c r="L32">
        <v>-72.16678797</v>
      </c>
      <c r="M32">
        <v>-5.49990031</v>
      </c>
    </row>
    <row r="33" spans="1:13">
      <c r="A33" t="s">
        <v>56</v>
      </c>
      <c r="B33">
        <v>1.36</v>
      </c>
      <c r="C33">
        <v>1.33</v>
      </c>
      <c r="D33">
        <f t="shared" si="0"/>
        <v>0.03</v>
      </c>
      <c r="E33">
        <v>211</v>
      </c>
      <c r="F33">
        <v>186</v>
      </c>
      <c r="G33">
        <f t="shared" si="1"/>
        <v>-0.125944584382872</v>
      </c>
      <c r="H33">
        <v>21</v>
      </c>
      <c r="I33">
        <v>40</v>
      </c>
      <c r="J33">
        <f t="shared" si="2"/>
        <v>0.157608695652174</v>
      </c>
      <c r="K33">
        <v>-68.46199781</v>
      </c>
      <c r="L33">
        <v>-77.24332563</v>
      </c>
      <c r="M33">
        <v>-8.78132782</v>
      </c>
    </row>
    <row r="34" spans="1:13">
      <c r="A34" t="s">
        <v>57</v>
      </c>
      <c r="B34">
        <v>1.54</v>
      </c>
      <c r="C34">
        <v>1.83</v>
      </c>
      <c r="D34">
        <f t="shared" si="0"/>
        <v>-0.29</v>
      </c>
      <c r="E34">
        <v>187</v>
      </c>
      <c r="F34">
        <v>194</v>
      </c>
      <c r="G34">
        <f t="shared" si="1"/>
        <v>0.036745406824147</v>
      </c>
      <c r="H34">
        <v>22</v>
      </c>
      <c r="I34">
        <v>26</v>
      </c>
      <c r="J34">
        <f t="shared" si="2"/>
        <v>0.0706521739130435</v>
      </c>
      <c r="K34">
        <v>-62.94129797</v>
      </c>
      <c r="L34">
        <v>-63.48537734</v>
      </c>
      <c r="M34">
        <v>-0.544079369999998</v>
      </c>
    </row>
    <row r="35" spans="1:13">
      <c r="A35" t="s">
        <v>58</v>
      </c>
      <c r="B35">
        <v>1.54</v>
      </c>
      <c r="C35">
        <v>1.55</v>
      </c>
      <c r="D35">
        <f t="shared" si="0"/>
        <v>-0.01</v>
      </c>
      <c r="E35">
        <v>187</v>
      </c>
      <c r="F35">
        <v>197</v>
      </c>
      <c r="G35">
        <f t="shared" si="1"/>
        <v>0.0520833333333333</v>
      </c>
      <c r="H35">
        <v>22</v>
      </c>
      <c r="I35">
        <v>25</v>
      </c>
      <c r="J35">
        <f t="shared" si="2"/>
        <v>0.0869565217391304</v>
      </c>
      <c r="K35">
        <v>-47.15873875</v>
      </c>
      <c r="L35">
        <v>-49.45795125</v>
      </c>
      <c r="M35">
        <v>-2.2992125</v>
      </c>
    </row>
    <row r="36" spans="1:13">
      <c r="A36" t="s">
        <v>59</v>
      </c>
      <c r="B36">
        <v>1.54</v>
      </c>
      <c r="C36">
        <v>1.9</v>
      </c>
      <c r="D36">
        <f t="shared" si="0"/>
        <v>-0.36</v>
      </c>
      <c r="E36">
        <v>187</v>
      </c>
      <c r="F36">
        <v>210</v>
      </c>
      <c r="G36">
        <f t="shared" si="1"/>
        <v>0.115869017632242</v>
      </c>
      <c r="H36">
        <v>22</v>
      </c>
      <c r="I36">
        <v>14</v>
      </c>
      <c r="J36">
        <f t="shared" si="2"/>
        <v>0.157608695652174</v>
      </c>
      <c r="K36">
        <v>-16.933785</v>
      </c>
      <c r="L36">
        <v>-17.44467125</v>
      </c>
      <c r="M36">
        <v>-0.510886249999998</v>
      </c>
    </row>
    <row r="37" spans="1:13">
      <c r="A37" t="s">
        <v>60</v>
      </c>
      <c r="B37">
        <v>1.65</v>
      </c>
      <c r="C37">
        <v>1.83</v>
      </c>
      <c r="D37">
        <f t="shared" si="0"/>
        <v>-0.18</v>
      </c>
      <c r="E37">
        <v>139</v>
      </c>
      <c r="F37">
        <v>194</v>
      </c>
      <c r="G37">
        <f t="shared" si="1"/>
        <v>0.33033033033033</v>
      </c>
      <c r="H37">
        <v>30</v>
      </c>
      <c r="I37">
        <v>26</v>
      </c>
      <c r="J37">
        <f t="shared" si="2"/>
        <v>0.298913043478261</v>
      </c>
      <c r="K37">
        <v>-25.67636609</v>
      </c>
      <c r="L37">
        <v>-25.64822672</v>
      </c>
      <c r="M37" s="1" t="s">
        <v>61</v>
      </c>
    </row>
    <row r="38" spans="1:13">
      <c r="A38" t="s">
        <v>62</v>
      </c>
      <c r="B38">
        <v>1.65</v>
      </c>
      <c r="C38">
        <v>1.55</v>
      </c>
      <c r="D38">
        <f t="shared" si="0"/>
        <v>0.0999999999999999</v>
      </c>
      <c r="E38">
        <v>139</v>
      </c>
      <c r="F38">
        <v>197</v>
      </c>
      <c r="G38">
        <f t="shared" si="1"/>
        <v>0.345238095238095</v>
      </c>
      <c r="H38">
        <v>30</v>
      </c>
      <c r="I38">
        <v>25</v>
      </c>
      <c r="J38">
        <f t="shared" si="2"/>
        <v>0.315217391304348</v>
      </c>
      <c r="K38">
        <v>-8.74186125</v>
      </c>
      <c r="L38">
        <v>-8.93607375</v>
      </c>
      <c r="M38">
        <v>-0.1942125</v>
      </c>
    </row>
    <row r="39" spans="1:13">
      <c r="A39" t="s">
        <v>63</v>
      </c>
      <c r="B39">
        <v>1.65</v>
      </c>
      <c r="C39">
        <v>1.36</v>
      </c>
      <c r="D39">
        <f t="shared" si="0"/>
        <v>0.29</v>
      </c>
      <c r="E39">
        <v>139</v>
      </c>
      <c r="F39">
        <v>211</v>
      </c>
      <c r="G39">
        <f t="shared" si="1"/>
        <v>0.411428571428571</v>
      </c>
      <c r="H39">
        <v>30</v>
      </c>
      <c r="I39">
        <v>21</v>
      </c>
      <c r="J39">
        <f t="shared" si="2"/>
        <v>0.391304347826087</v>
      </c>
      <c r="K39">
        <v>-29.96155609</v>
      </c>
      <c r="L39">
        <v>-29.77825516</v>
      </c>
      <c r="M39" s="1" t="s">
        <v>64</v>
      </c>
    </row>
    <row r="40" spans="1:13">
      <c r="A40" t="s">
        <v>65</v>
      </c>
      <c r="B40">
        <v>1.65</v>
      </c>
      <c r="C40">
        <v>1.9</v>
      </c>
      <c r="D40">
        <f t="shared" si="0"/>
        <v>-0.25</v>
      </c>
      <c r="E40">
        <v>139</v>
      </c>
      <c r="F40">
        <v>210</v>
      </c>
      <c r="G40">
        <f t="shared" si="1"/>
        <v>0.406876790830946</v>
      </c>
      <c r="H40">
        <v>30</v>
      </c>
      <c r="I40">
        <v>14</v>
      </c>
      <c r="J40">
        <f t="shared" si="2"/>
        <v>0.385869565217391</v>
      </c>
      <c r="K40">
        <v>15.77912719</v>
      </c>
      <c r="L40">
        <v>15.74588844</v>
      </c>
      <c r="M40">
        <v>-0.0332387500000006</v>
      </c>
    </row>
    <row r="41" spans="1:13">
      <c r="A41" t="s">
        <v>66</v>
      </c>
      <c r="B41">
        <v>1.65</v>
      </c>
      <c r="C41">
        <v>1.54</v>
      </c>
      <c r="D41">
        <f t="shared" si="0"/>
        <v>0.11</v>
      </c>
      <c r="E41">
        <v>139</v>
      </c>
      <c r="F41">
        <v>187</v>
      </c>
      <c r="G41">
        <f t="shared" si="1"/>
        <v>0.294478527607362</v>
      </c>
      <c r="H41">
        <v>30</v>
      </c>
      <c r="I41">
        <v>22</v>
      </c>
      <c r="J41">
        <f t="shared" si="2"/>
        <v>0.260869565217391</v>
      </c>
      <c r="K41">
        <v>-27.3682125</v>
      </c>
      <c r="L41">
        <v>-27.88828906</v>
      </c>
      <c r="M41">
        <v>-0.520076560000003</v>
      </c>
    </row>
    <row r="42" spans="1:13">
      <c r="A42" t="s">
        <v>67</v>
      </c>
      <c r="B42">
        <v>1.65</v>
      </c>
      <c r="C42">
        <v>1.33</v>
      </c>
      <c r="D42">
        <f t="shared" si="0"/>
        <v>0.32</v>
      </c>
      <c r="E42">
        <v>139</v>
      </c>
      <c r="F42">
        <v>186</v>
      </c>
      <c r="G42">
        <f t="shared" si="1"/>
        <v>0.289230769230769</v>
      </c>
      <c r="H42">
        <v>30</v>
      </c>
      <c r="I42">
        <v>40</v>
      </c>
      <c r="J42">
        <f t="shared" si="2"/>
        <v>0.255434782608696</v>
      </c>
      <c r="K42">
        <v>-28.70520609</v>
      </c>
      <c r="L42">
        <v>-29.24537797</v>
      </c>
      <c r="M42">
        <v>-0.540171879999999</v>
      </c>
    </row>
    <row r="43" spans="1:13">
      <c r="A43" t="s">
        <v>68</v>
      </c>
      <c r="B43">
        <v>1.33</v>
      </c>
      <c r="C43">
        <v>1.83</v>
      </c>
      <c r="D43">
        <f t="shared" si="0"/>
        <v>-0.5</v>
      </c>
      <c r="E43">
        <v>186</v>
      </c>
      <c r="F43">
        <v>194</v>
      </c>
      <c r="G43">
        <f t="shared" si="1"/>
        <v>0.0421052631578947</v>
      </c>
      <c r="H43">
        <v>40</v>
      </c>
      <c r="I43">
        <v>26</v>
      </c>
      <c r="J43">
        <f t="shared" si="2"/>
        <v>0.0652173913043478</v>
      </c>
      <c r="K43">
        <v>-65.91795656</v>
      </c>
      <c r="L43">
        <v>-62.39842844</v>
      </c>
      <c r="M43" s="1" t="s">
        <v>69</v>
      </c>
    </row>
    <row r="44" spans="1:13">
      <c r="A44" t="s">
        <v>70</v>
      </c>
      <c r="B44">
        <v>1.33</v>
      </c>
      <c r="C44">
        <v>1.55</v>
      </c>
      <c r="D44">
        <f t="shared" si="0"/>
        <v>-0.22</v>
      </c>
      <c r="E44">
        <v>186</v>
      </c>
      <c r="F44">
        <v>197</v>
      </c>
      <c r="G44">
        <f t="shared" si="1"/>
        <v>0.0574412532637076</v>
      </c>
      <c r="H44">
        <v>40</v>
      </c>
      <c r="I44">
        <v>25</v>
      </c>
      <c r="J44">
        <f t="shared" si="2"/>
        <v>0.0815217391304348</v>
      </c>
      <c r="K44">
        <v>-50.43956422</v>
      </c>
      <c r="L44">
        <v>-49.48885047</v>
      </c>
      <c r="M44" s="1" t="s">
        <v>71</v>
      </c>
    </row>
    <row r="45" spans="1:13">
      <c r="A45" t="s">
        <v>72</v>
      </c>
      <c r="B45">
        <v>1.33</v>
      </c>
      <c r="C45">
        <v>1.9</v>
      </c>
      <c r="D45">
        <f t="shared" si="0"/>
        <v>-0.57</v>
      </c>
      <c r="E45">
        <v>186</v>
      </c>
      <c r="F45">
        <v>210</v>
      </c>
      <c r="G45">
        <f t="shared" si="1"/>
        <v>0.121212121212121</v>
      </c>
      <c r="H45">
        <v>40</v>
      </c>
      <c r="I45">
        <v>14</v>
      </c>
      <c r="J45">
        <f t="shared" si="2"/>
        <v>0.152173913043478</v>
      </c>
      <c r="K45">
        <v>-18.12493609</v>
      </c>
      <c r="L45">
        <v>-16.90927734</v>
      </c>
      <c r="M45" s="1" t="s">
        <v>73</v>
      </c>
    </row>
    <row r="46" spans="1:13">
      <c r="A46" t="s">
        <v>74</v>
      </c>
      <c r="B46">
        <v>1.33</v>
      </c>
      <c r="C46">
        <v>1.54</v>
      </c>
      <c r="D46">
        <f t="shared" si="0"/>
        <v>-0.21</v>
      </c>
      <c r="E46">
        <v>186</v>
      </c>
      <c r="F46">
        <v>187</v>
      </c>
      <c r="G46">
        <f t="shared" si="1"/>
        <v>0.00536193029490617</v>
      </c>
      <c r="H46">
        <v>40</v>
      </c>
      <c r="I46">
        <v>22</v>
      </c>
      <c r="J46">
        <f t="shared" si="2"/>
        <v>0.0271739130434783</v>
      </c>
      <c r="K46">
        <v>-69.64838984</v>
      </c>
      <c r="L46">
        <v>-75.55957266</v>
      </c>
      <c r="M46">
        <v>-5.91118282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binary_alloy_features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2025-09-29T05:58:14Z</dcterms:created>
  <dcterms:modified xsi:type="dcterms:W3CDTF">2025-09-29T07:47:52Z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45EA686185804CF593080D8D6AA89D32_13</vt:lpwstr>
  </property>
  <property fmtid="{D5CDD505-2E9C-101B-9397-08002B2CF9AE}" pid="3" name="KSOProductBuildVer">
    <vt:lpwstr>2052-12.1.0.22529</vt:lpwstr>
  </property>
</Properties>
</file>